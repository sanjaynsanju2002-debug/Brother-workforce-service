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58908fbb1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63babfd5ddd1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@"/>
    <x:numFmt numFmtId="202" formatCode="0.00"/>
    <x:numFmt numFmtId="203" formatCode="0.00&quot;%&quot;"/>
  </x:numFmts>
  <x:fonts count="7">
    <x:font>
      <x:sz val="11"/>
      <x:name val="Carlito"/>
    </x:font>
    <x:font>
      <x:sz val="10"/>
      <x:color rgb="FF111827"/>
      <x:name val="Arial"/>
    </x:font>
    <x:font>
      <x:b/>
      <x:sz val="14"/>
      <x:color rgb="FF0F2444"/>
      <x:name val="Arial"/>
    </x:font>
    <x:font>
      <x:b/>
      <x:sz val="10"/>
      <x:color rgb="FF0F2444"/>
      <x:name val="Arial"/>
    </x:font>
    <x:font>
      <x:i/>
      <x:sz val="9"/>
      <x:color rgb="FF475569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FFEDD5"/>
      </x:patternFill>
    </x:fill>
    <x:fill>
      <x:patternFill patternType="solid">
        <x:fgColor rgb="FF0F244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2410C"/>
      </x:bottom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2" fontId="6" fillId="0" borderId="2" xfId="0" applyNumberFormat="1" applyFont="1" applyFill="1" applyBorder="1" applyAlignment="1">
      <x:alignment horizontal="center" vertical="center"/>
    </x:xf>
    <x:xf numFmtId="203" fontId="6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center" vertical="center"/>
    </x:xf>
    <x:xf numFmtId="200" fontId="3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49e8a92c54392" /><Relationship Type="http://schemas.openxmlformats.org/officeDocument/2006/relationships/theme" Target="/xl/theme/theme1.xml" Id="R07e46ed04c4f4adf" /><Relationship Type="http://schemas.openxmlformats.org/officeDocument/2006/relationships/sharedStrings" Target="/xl/sharedStrings.xml" Id="Ra9aefabcbd674fb7" /><Relationship Type="http://schemas.openxmlformats.org/officeDocument/2006/relationships/worksheet" Target="/xl/worksheets/sheet1.xml" Id="R63babfd5ddd14c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f7dab9dee8b468f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1</xdr:row>
      <xdr:rowOff>28575</xdr:rowOff>
    </xdr:from>
    <xdr:ext cx="1104900" cy="753428"/>
    <xdr:pic>
      <xdr:nvPicPr>
        <xdr:cNvPr id="1" name="60ee1c07-2beb-43f4-8594-2a675edd0a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7dab9dee8b46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ca18ca1b0d4e80" /></Relationships>
</file>

<file path=xl/worksheets/sheet1.xml><?xml version="1.0" encoding="utf-8"?>
<x:worksheet xmlns:x="http://schemas.openxmlformats.org/spreadsheetml/2006/main">
  <x:sheetPr>
    <x:tabColor rgb="FF0F2444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4" hidden="0" customWidth="1"/>
    <x:col min="2" max="2" width="14" hidden="0" customWidth="1"/>
    <x:col min="3" max="3" width="27" hidden="0" customWidth="1"/>
    <x:col min="4" max="4" width="10" hidden="0" customWidth="1"/>
    <x:col min="5" max="5" width="13" hidden="0" customWidth="1"/>
    <x:col min="6" max="6" width="17" hidden="0" customWidth="1"/>
    <x:col min="7" max="7" width="9" hidden="0" customWidth="1"/>
    <x:col min="8" max="8" width="16" hidden="0" customWidth="1"/>
    <x:col min="9" max="9" width="9" hidden="0" customWidth="1"/>
    <x:col min="10" max="10" width="16" hidden="0" customWidth="1"/>
    <x:col min="11" max="11" width="1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2"/>
      <x:c r="B2" s="2"/>
      <x:c r="C2" s="3" t="str">
        <x:v>Brothers Workforce Solutions</x:v>
      </x:c>
      <x:c r="D2" s="3"/>
      <x:c r="E2" s="3"/>
      <x:c r="F2" s="3"/>
      <x:c r="G2" s="3"/>
      <x:c r="H2" s="3"/>
      <x:c r="I2" s="3"/>
      <x:c r="J2" s="3"/>
      <x:c r="K2" s="3"/>
    </x:row>
    <x:row r="3" ht="22" customHeight="1">
      <x:c r="A3" s="2"/>
      <x:c r="B3" s="2"/>
      <x:c r="C3" s="4" t="str">
        <x:v>1, Boregowda Complex, Belavadi Main Rd, Near Canara Bank, Krishnappa Block, Mysore, Karnataka - 570018</x:v>
      </x:c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2"/>
      <x:c r="B4" s="2"/>
      <x:c r="C4" s="4"/>
      <x:c r="D4" s="4"/>
      <x:c r="E4" s="4"/>
      <x:c r="F4" s="4"/>
      <x:c r="G4" s="4"/>
      <x:c r="H4" s="4"/>
      <x:c r="I4" s="4"/>
      <x:c r="J4" s="4"/>
      <x:c r="K4" s="4"/>
    </x:row>
    <x:row r="5" ht="22" customHeight="1">
      <x:c r="A5" s="2"/>
      <x:c r="B5" s="2"/>
      <x:c r="C5" s="2" t="str">
        <x:v>+91 96063 33542 | brothersworkforcesolutions@gmail.com</x:v>
      </x:c>
      <x:c r="D5" s="2"/>
      <x:c r="E5" s="2"/>
      <x:c r="F5" s="2"/>
      <x:c r="G5" s="2"/>
      <x:c r="H5" s="2"/>
      <x:c r="I5" s="2"/>
      <x:c r="J5" s="2"/>
      <x:c r="K5" s="2"/>
    </x:row>
    <x:row r="6" ht="22" customHeight="1">
      <x:c r="A6" s="2"/>
      <x:c r="B6" s="2"/>
      <x:c r="C6" s="2" t="str">
        <x:v>brothersworkforcesolutions.in | GSTIN: 29EQOPR8753K1ZM</x:v>
      </x:c>
      <x:c r="D6" s="2"/>
      <x:c r="E6" s="2"/>
      <x:c r="F6" s="2"/>
      <x:c r="G6" s="2"/>
      <x:c r="H6" s="2"/>
      <x:c r="I6" s="2"/>
      <x:c r="J6" s="2"/>
      <x:c r="K6" s="2"/>
    </x:row>
    <x:row r="7" ht="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2" customHeight="1">
      <x:c r="A8" s="5" t="str">
        <x:v>PAYROLL REGISTER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</x:row>
    <x:row r="9" ht="22" customHeight="1">
      <x:c r="A9" s="6" t="str">
        <x:v>Company: Company Workforce</x:v>
      </x:c>
      <x:c r="B9" s="6"/>
      <x:c r="C9" s="6"/>
      <x:c r="D9" s="6"/>
      <x:c r="E9" s="6"/>
      <x:c r="F9" s="6"/>
      <x:c r="G9" s="6" t="str">
        <x:v>Payroll month: October 2026</x:v>
      </x:c>
      <x:c r="H9" s="6"/>
      <x:c r="I9" s="6"/>
      <x:c r="J9" s="6"/>
      <x:c r="K9" s="6"/>
    </x:row>
    <x:row r="10" ht="22" customHeight="1">
      <x:c r="A10" s="2" t="str">
        <x:v>Worksite: Mysore</x:v>
      </x:c>
      <x:c r="B10" s="2"/>
      <x:c r="C10" s="2"/>
      <x:c r="D10" s="2"/>
      <x:c r="E10" s="2"/>
      <x:c r="F10" s="2"/>
      <x:c r="G10" s="2" t="str">
        <x:v>Employees: 1</x:v>
      </x:c>
      <x:c r="H10" s="2"/>
      <x:c r="I10" s="2"/>
      <x:c r="J10" s="2"/>
      <x:c r="K10" s="2"/>
    </x:row>
    <x:row r="11" ht="8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2" customHeight="1">
      <x:c r="A12" s="7" t="str">
        <x:v>Gross wages (INR)</x:v>
      </x:c>
      <x:c r="B12" s="7"/>
      <x:c r="C12" s="7"/>
      <x:c r="D12" s="7" t="str">
        <x:v>ESI deduction (INR)</x:v>
      </x:c>
      <x:c r="E12" s="7"/>
      <x:c r="F12" s="7"/>
      <x:c r="G12" s="7" t="str">
        <x:v>PF deduction (INR)</x:v>
      </x:c>
      <x:c r="H12" s="7"/>
      <x:c r="I12" s="7"/>
      <x:c r="J12" s="8" t="str">
        <x:v>Payable (INR)</x:v>
      </x:c>
      <x:c r="K12" s="8"/>
    </x:row>
    <x:row r="13" ht="22" customHeight="1">
      <x:c r="A13" s="11" t="n">
        <x:f>F17</x:f>
        <x:v>0</x:v>
      </x:c>
      <x:c r="B13" s="11"/>
      <x:c r="C13" s="11"/>
      <x:c r="D13" s="11" t="n">
        <x:f>H17</x:f>
        <x:v>0</x:v>
      </x:c>
      <x:c r="E13" s="11"/>
      <x:c r="F13" s="11"/>
      <x:c r="G13" s="11" t="n">
        <x:f>J17</x:f>
        <x:v>0</x:v>
      </x:c>
      <x:c r="H13" s="11"/>
      <x:c r="I13" s="11"/>
      <x:c r="J13" s="12" t="n">
        <x:f>K17</x:f>
        <x:v>0</x:v>
      </x:c>
      <x:c r="K13" s="12"/>
    </x:row>
    <x:row r="14" ht="22" customHeight="1">
      <x:c r="A14" s="13" t="str">
        <x:v>Blue text: editable attendance, daily rates and deduction percentages.</x:v>
      </x:c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 ht="34" customHeight="1">
      <x:c r="A15" s="17" t="str">
        <x:v>No.</x:v>
      </x:c>
      <x:c r="B15" s="17" t="str">
        <x:v>Employee ID</x:v>
      </x:c>
      <x:c r="C15" s="17" t="str">
        <x:v>Employee name</x:v>
      </x:c>
      <x:c r="D15" s="17" t="str">
        <x:v>Worked
days</x:v>
      </x:c>
      <x:c r="E15" s="17" t="str">
        <x:v>Daily rate
(INR)</x:v>
      </x:c>
      <x:c r="F15" s="17" t="str">
        <x:v>Gross wages
(INR)</x:v>
      </x:c>
      <x:c r="G15" s="17" t="str">
        <x:v>ESI
(%)</x:v>
      </x:c>
      <x:c r="H15" s="17" t="str">
        <x:v>ESI deduction
(INR)</x:v>
      </x:c>
      <x:c r="I15" s="17" t="str">
        <x:v>PF
(%)</x:v>
      </x:c>
      <x:c r="J15" s="17" t="str">
        <x:v>PF deduction
(INR)</x:v>
      </x:c>
      <x:c r="K15" s="17" t="str">
        <x:v>Payable
(INR)</x:v>
      </x:c>
    </x:row>
    <x:row r="16" ht="28" customHeight="1">
      <x:c r="A16" s="21" t="n">
        <x:v>1</x:v>
      </x:c>
      <x:c r="B16" s="20" t="str">
        <x:v>BWS-001</x:v>
      </x:c>
      <x:c r="C16" s="20" t="str">
        <x:v>Employee name</x:v>
      </x:c>
      <x:c r="D16" s="28" t="n">
        <x:v>0</x:v>
      </x:c>
      <x:c r="E16" s="25" t="n">
        <x:v>0</x:v>
      </x:c>
      <x:c r="F16" s="27" t="n">
        <x:f>ROUND(D16*E16,2)</x:f>
        <x:v>0</x:v>
      </x:c>
      <x:c r="G16" s="30" t="n">
        <x:v>0</x:v>
      </x:c>
      <x:c r="H16" s="27" t="n">
        <x:f>ROUND(F16*G16/100,2)</x:f>
        <x:v>0</x:v>
      </x:c>
      <x:c r="I16" s="30" t="n">
        <x:v>0</x:v>
      </x:c>
      <x:c r="J16" s="27" t="n">
        <x:f>ROUND(F16*I16/100,2)</x:f>
        <x:v>0</x:v>
      </x:c>
      <x:c r="K16" s="31" t="n">
        <x:f>F16-H16-J16</x:f>
        <x:v>0</x:v>
      </x:c>
    </x:row>
    <x:row r="17" ht="26" customHeight="1">
      <x:c r="A17" s="32" t="str">
        <x:v>TOTAL</x:v>
      </x:c>
      <x:c r="B17" s="32"/>
      <x:c r="C17" s="32"/>
      <x:c r="D17" s="34" t="n">
        <x:f>SUM(D16:D16)</x:f>
        <x:v>0</x:v>
      </x:c>
      <x:c r="E17" s="32"/>
      <x:c r="F17" s="35" t="n">
        <x:f>SUM(F16:F16)</x:f>
        <x:v>0</x:v>
      </x:c>
      <x:c r="G17" s="32"/>
      <x:c r="H17" s="35" t="n">
        <x:f>SUM(H16:H16)</x:f>
        <x:v>0</x:v>
      </x:c>
      <x:c r="I17" s="32"/>
      <x:c r="J17" s="35" t="n">
        <x:f>SUM(J16:J16)</x:f>
        <x:v>0</x:v>
      </x:c>
      <x:c r="K17" s="35" t="n">
        <x:f>SUM(K16:K16)</x:f>
        <x:v>0</x:v>
      </x:c>
    </x:row>
    <x:row r="18" ht="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2" customHeight="1">
      <x:c r="A19" s="4" t="str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 ht="22" customHeight="1">
      <x:c r="A20" s="36" t="str">
        <x:v>Gross wages = worked days x daily rate. ESI and PF use the entered percentages of gross wages.</x:v>
      </x:c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</x:row>
  </x:sheetData>
  <x:mergeCells>
    <x:mergeCell ref="C2:K2"/>
    <x:mergeCell ref="C3:K4"/>
    <x:mergeCell ref="C5:K5"/>
    <x:mergeCell ref="C6:K6"/>
    <x:mergeCell ref="A8:K8"/>
    <x:mergeCell ref="A9:F9"/>
    <x:mergeCell ref="G9:K9"/>
    <x:mergeCell ref="A10:F10"/>
    <x:mergeCell ref="G10:K10"/>
    <x:mergeCell ref="A12:C12"/>
    <x:mergeCell ref="D12:F12"/>
    <x:mergeCell ref="G12:I12"/>
    <x:mergeCell ref="J12:K12"/>
    <x:mergeCell ref="A13:C13"/>
    <x:mergeCell ref="D13:F13"/>
    <x:mergeCell ref="G13:I13"/>
    <x:mergeCell ref="J13:K13"/>
    <x:mergeCell ref="A14:K14"/>
    <x:mergeCell ref="A17:C17"/>
    <x:mergeCell ref="A19:K19"/>
    <x:mergeCell ref="A20:K20"/>
  </x:mergeCells>
  <x:pageMargins left="0.7" right="0.7" top="0.75" bottom="0.75" header="0.3" footer="0.3"/>
  <x:drawing xmlns:r="http://schemas.openxmlformats.org/officeDocument/2006/relationships" r:id="R77ca18ca1b0d4e80"/>
</x:worksheet>
</file>